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4CDEC911-2119-4429-9AA7-97536A46CC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trucciones" sheetId="4" r:id="rId1"/>
    <sheet name="Datos de pasajeros" sheetId="1" r:id="rId2"/>
    <sheet name="Viajes" sheetId="2" r:id="rId3"/>
    <sheet name="Cabina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R2" i="1"/>
  <c r="Q2" i="1"/>
</calcChain>
</file>

<file path=xl/sharedStrings.xml><?xml version="1.0" encoding="utf-8"?>
<sst xmlns="http://schemas.openxmlformats.org/spreadsheetml/2006/main" count="97" uniqueCount="57">
  <si>
    <t>FORMA DE COMPLETAR LOS DATOS DE LOS PASAJEROS</t>
  </si>
  <si>
    <t>1. Completar todas las columnas con los datos solicitados en la hoja "Datos de Pasajeros"</t>
  </si>
  <si>
    <t>2. Seleccionar de las listas desplegables, el identificador de viaje y la cabina asignada al pasajero</t>
  </si>
  <si>
    <t>3. En caso de ser necesario, modifique o cambie los datos de las hojas "Viajes" y "Cabinas", manteniendo los formatos</t>
  </si>
  <si>
    <t>4. Una vez que se la lista de pasajeros está completa, deberá crear el archivo a subir a la aplicación del Buque, de acuerdo a:</t>
  </si>
  <si>
    <r>
      <rPr>
        <sz val="11"/>
        <color rgb="FF000000"/>
        <rFont val="Aptos Narrow"/>
        <scheme val="minor"/>
      </rPr>
      <t xml:space="preserve">a. Si está trabajando desde la </t>
    </r>
    <r>
      <rPr>
        <sz val="11"/>
        <color rgb="FFFF0000"/>
        <rFont val="Aptos Narrow"/>
        <scheme val="minor"/>
      </rPr>
      <t>versión de excel de escritorio</t>
    </r>
    <r>
      <rPr>
        <sz val="11"/>
        <color rgb="FF000000"/>
        <rFont val="Aptos Narrow"/>
        <scheme val="minor"/>
      </rPr>
      <t>, copie la hoja de pasajeros a un nuevo archivo</t>
    </r>
  </si>
  <si>
    <t>b. Guarde el nuevo archivo creado como un archivo .csv separado por ";" (punto y coma)</t>
  </si>
  <si>
    <r>
      <rPr>
        <sz val="11"/>
        <color rgb="FF000000"/>
        <rFont val="Aptos Narrow"/>
        <scheme val="minor"/>
      </rPr>
      <t xml:space="preserve">c. Si está trabajando con la </t>
    </r>
    <r>
      <rPr>
        <sz val="11"/>
        <color rgb="FF7030A0"/>
        <rFont val="Aptos Narrow"/>
        <scheme val="minor"/>
      </rPr>
      <t>versión web de excel</t>
    </r>
    <r>
      <rPr>
        <sz val="11"/>
        <color rgb="FF000000"/>
        <rFont val="Aptos Narrow"/>
        <scheme val="minor"/>
      </rPr>
      <t>, posicionado en la hola de Pasajeros, exporte con formato csv, UTF-8</t>
    </r>
  </si>
  <si>
    <t>5. Subir el archivo, utilizando la opción "Alta de pasajeros (desde archivo)"</t>
  </si>
  <si>
    <t>Nombre</t>
  </si>
  <si>
    <t>Apellido</t>
  </si>
  <si>
    <t>Tipo de Identificación</t>
  </si>
  <si>
    <t>Nro. de Identificación</t>
  </si>
  <si>
    <t>Fecha de Nacimiento</t>
  </si>
  <si>
    <t>Email</t>
  </si>
  <si>
    <t>Teléfono</t>
  </si>
  <si>
    <t>Teléfono emergencias</t>
  </si>
  <si>
    <t>Calle</t>
  </si>
  <si>
    <t>Número</t>
  </si>
  <si>
    <t>Cod. Postal</t>
  </si>
  <si>
    <t>Ciudad</t>
  </si>
  <si>
    <t>Provincia/Estado</t>
  </si>
  <si>
    <t>País</t>
  </si>
  <si>
    <t>Id. de Viaje</t>
  </si>
  <si>
    <t>Cabina Asignada</t>
  </si>
  <si>
    <t>IDV2</t>
  </si>
  <si>
    <t>IDC2</t>
  </si>
  <si>
    <t>Código de Viaje</t>
  </si>
  <si>
    <t>Fecha de Inicio</t>
  </si>
  <si>
    <t>Fecha de Finalización</t>
  </si>
  <si>
    <t>A131025</t>
  </si>
  <si>
    <t>A031125</t>
  </si>
  <si>
    <t>A121125</t>
  </si>
  <si>
    <t>A221125</t>
  </si>
  <si>
    <t>A011225</t>
  </si>
  <si>
    <t>A111225</t>
  </si>
  <si>
    <t>A201225</t>
  </si>
  <si>
    <t>A291225</t>
  </si>
  <si>
    <t>A070126</t>
  </si>
  <si>
    <t>A160126</t>
  </si>
  <si>
    <t>A250126</t>
  </si>
  <si>
    <t>A030226</t>
  </si>
  <si>
    <t>A140226</t>
  </si>
  <si>
    <t>A250226</t>
  </si>
  <si>
    <t>A070326</t>
  </si>
  <si>
    <t>A170326</t>
  </si>
  <si>
    <t>A260326</t>
  </si>
  <si>
    <t>Nro. de Cabina</t>
  </si>
  <si>
    <t>Tipo de Cabina</t>
  </si>
  <si>
    <t>Id. de Cabina</t>
  </si>
  <si>
    <t>Suite Twin</t>
  </si>
  <si>
    <t>Superior Twin</t>
  </si>
  <si>
    <t>Premier Twin</t>
  </si>
  <si>
    <t>Premier Single</t>
  </si>
  <si>
    <t>Standard Twin</t>
  </si>
  <si>
    <t>Standard Plus Twin</t>
  </si>
  <si>
    <t>Standard Plus 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</si>
</sst>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7030A0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/>
    <xf numFmtId="49" fontId="0" fillId="0" borderId="0" xfId="0" applyNumberFormat="1" applyAlignment="1"/>
    <xf numFmtId="0" fontId="1" fillId="0" borderId="0" xfId="0" applyFont="1" applyBorder="1" applyAlignment="1">
      <alignment readingOrder="1"/>
    </xf>
    <xf numFmtId="14" fontId="1" fillId="0" borderId="0" xfId="0" applyNumberFormat="1" applyFont="1" applyBorder="1" applyAlignment="1">
      <alignment readingOrder="1"/>
    </xf>
    <xf numFmtId="0" fontId="1" fillId="0" borderId="0" xfId="0" quotePrefix="1" applyFont="1" applyBorder="1" applyAlignment="1">
      <alignment readingOrder="1"/>
    </xf>
    <xf numFmtId="49" fontId="1" fillId="0" borderId="0" xfId="0" applyNumberFormat="1" applyFont="1" applyBorder="1" applyAlignment="1">
      <alignment readingOrder="1"/>
    </xf>
    <xf numFmtId="0" fontId="0" fillId="0" borderId="0" xfId="0" applyBorder="1" applyAlignment="1">
      <alignment wrapText="1"/>
    </xf>
    <xf numFmtId="0" fontId="0" fillId="0" borderId="0" xfId="0" applyBorder="1"/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indent="3"/>
    </xf>
    <xf numFmtId="0" fontId="0" fillId="0" borderId="0" xfId="0" applyBorder="1" applyAlignment="1">
      <alignment horizontal="left" indent="3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3D8B0-F6FC-4AC0-A53C-DCEA6AA9B322}" name="Viajes" displayName="Viajes" ref="A1:D18" totalsRowShown="0">
  <autoFilter ref="A1:D18" xr:uid="{DEC3D8B0-F6FC-4AC0-A53C-DCEA6AA9B322}"/>
  <tableColumns count="4">
    <tableColumn id="2" xr3:uid="{BF875BDB-B3E6-41F9-AB51-2454CA5898B0}" name="Código de Viaje"/>
    <tableColumn id="3" xr3:uid="{7CB7BA93-DB60-4701-AFCF-6C8CC7194552}" name="Fecha de Inicio" dataDxfId="2"/>
    <tableColumn id="4" xr3:uid="{57A66030-41B7-42E5-B9BE-32B8C0A1D74E}" name="Fecha de Finalización" dataDxfId="1"/>
    <tableColumn id="1" xr3:uid="{5EA86D63-A121-43C6-9D1A-0A8907BCAB73}" name="Id. de Viaj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68324-463D-47EA-B353-184DA827D7B2}" name="Cabinas" displayName="Cabinas" ref="A1:C47" totalsRowShown="0">
  <autoFilter ref="A1:C47" xr:uid="{5B768324-463D-47EA-B353-184DA827D7B2}"/>
  <tableColumns count="3">
    <tableColumn id="2" xr3:uid="{9B7F5DA8-2CCF-4FFC-B1CA-8C9D3CDA423E}" name="Nro. de Cabina"/>
    <tableColumn id="3" xr3:uid="{31F40034-96C0-44E8-B4A8-11E3880A4BC3}" name="Tipo de Cabina"/>
    <tableColumn id="1" xr3:uid="{29A1ECEC-5762-4F99-952D-DC31976C9260}" name="Id. de Cabi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9197-67F7-4EF1-825B-0826A1202056}">
  <dimension ref="A1:A10"/>
  <sheetViews>
    <sheetView showGridLines="0" tabSelected="1" workbookViewId="0">
      <selection sqref="A1:XFD1048576"/>
    </sheetView>
  </sheetViews>
  <sheetFormatPr defaultRowHeight="15"/>
  <cols>
    <col min="1" max="1" width="135.5703125" style="10" customWidth="1"/>
    <col min="2" max="16384" width="9.140625" style="10"/>
  </cols>
  <sheetData>
    <row r="1" spans="1:1" ht="15.75">
      <c r="A1" s="11" t="s">
        <v>0</v>
      </c>
    </row>
    <row r="3" spans="1:1">
      <c r="A3" s="9" t="s">
        <v>1</v>
      </c>
    </row>
    <row r="4" spans="1:1">
      <c r="A4" s="9" t="s">
        <v>2</v>
      </c>
    </row>
    <row r="5" spans="1:1">
      <c r="A5" s="10" t="s">
        <v>3</v>
      </c>
    </row>
    <row r="6" spans="1:1">
      <c r="A6" s="10" t="s">
        <v>4</v>
      </c>
    </row>
    <row r="7" spans="1:1">
      <c r="A7" s="12" t="s">
        <v>5</v>
      </c>
    </row>
    <row r="8" spans="1:1">
      <c r="A8" s="13" t="s">
        <v>6</v>
      </c>
    </row>
    <row r="9" spans="1:1">
      <c r="A9" s="12" t="s">
        <v>7</v>
      </c>
    </row>
    <row r="10" spans="1:1">
      <c r="A10" s="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/>
  </sheetViews>
  <sheetFormatPr defaultRowHeight="15"/>
  <cols>
    <col min="1" max="1" width="13.5703125" style="2" customWidth="1"/>
    <col min="2" max="2" width="10.85546875" style="2" bestFit="1" customWidth="1"/>
    <col min="3" max="4" width="19.140625" style="2" bestFit="1" customWidth="1"/>
    <col min="5" max="5" width="19" style="2" bestFit="1" customWidth="1"/>
    <col min="6" max="6" width="24" style="2" bestFit="1" customWidth="1"/>
    <col min="7" max="7" width="24.7109375" style="2" customWidth="1"/>
    <col min="8" max="8" width="19.5703125" style="2" bestFit="1" customWidth="1"/>
    <col min="9" max="9" width="19.85546875" style="2" bestFit="1" customWidth="1"/>
    <col min="10" max="10" width="8.85546875" style="4" bestFit="1" customWidth="1"/>
    <col min="11" max="11" width="10.7109375" style="2" bestFit="1" customWidth="1"/>
    <col min="12" max="12" width="15.7109375" style="2" bestFit="1" customWidth="1"/>
    <col min="13" max="13" width="18" style="2" bestFit="1" customWidth="1"/>
    <col min="14" max="14" width="20.85546875" style="2" bestFit="1" customWidth="1"/>
    <col min="15" max="15" width="15.5703125" style="2" customWidth="1"/>
    <col min="16" max="16" width="15.140625" bestFit="1" customWidth="1"/>
    <col min="17" max="17" width="13.42578125" customWidth="1"/>
  </cols>
  <sheetData>
    <row r="1" spans="1:18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t="s">
        <v>24</v>
      </c>
      <c r="Q1" t="s">
        <v>25</v>
      </c>
      <c r="R1" t="s">
        <v>26</v>
      </c>
    </row>
    <row r="2" spans="1:18">
      <c r="A2" s="5"/>
      <c r="B2" s="5"/>
      <c r="C2" s="5"/>
      <c r="D2" s="5"/>
      <c r="E2" s="6"/>
      <c r="F2" s="5"/>
      <c r="G2" s="7"/>
      <c r="H2" s="7"/>
      <c r="I2" s="5"/>
      <c r="J2" s="5"/>
      <c r="K2" s="5"/>
      <c r="L2" s="5"/>
      <c r="M2" s="5"/>
      <c r="N2" s="5"/>
      <c r="O2" s="1"/>
      <c r="Q2" t="e">
        <f>VLOOKUP(O2,Viajes[],4,FALSE)</f>
        <v>#N/A</v>
      </c>
      <c r="R2" t="e">
        <f>VLOOKUP(P2,Cabinas[],3,FALSE)</f>
        <v>#N/A</v>
      </c>
    </row>
    <row r="3" spans="1:18">
      <c r="A3" s="5"/>
      <c r="B3" s="5"/>
      <c r="C3" s="5"/>
      <c r="D3" s="5"/>
      <c r="E3" s="6"/>
      <c r="F3" s="5"/>
      <c r="G3" s="7"/>
      <c r="H3" s="7"/>
      <c r="I3" s="5"/>
      <c r="J3" s="5"/>
      <c r="K3" s="5"/>
      <c r="L3" s="5"/>
      <c r="M3" s="5"/>
      <c r="N3" s="5"/>
      <c r="O3" s="9"/>
      <c r="P3" s="10"/>
      <c r="Q3" s="10" t="e">
        <f>VLOOKUP(O3,Viajes[],4,FALSE)</f>
        <v>#N/A</v>
      </c>
      <c r="R3" s="10" t="e">
        <f>VLOOKUP(P3,Cabinas[],3,FALSE)</f>
        <v>#N/A</v>
      </c>
    </row>
    <row r="4" spans="1:18">
      <c r="A4" s="5"/>
      <c r="B4" s="5"/>
      <c r="C4" s="5"/>
      <c r="D4" s="5"/>
      <c r="E4" s="6"/>
      <c r="F4" s="5"/>
      <c r="G4" s="7"/>
      <c r="H4" s="7"/>
      <c r="I4" s="5"/>
      <c r="J4" s="5"/>
      <c r="K4" s="5"/>
      <c r="L4" s="5"/>
      <c r="M4" s="5"/>
      <c r="N4" s="5"/>
      <c r="O4" s="9"/>
      <c r="P4" s="10"/>
      <c r="Q4" s="10" t="e">
        <f>VLOOKUP(O4,Viajes[],4,FALSE)</f>
        <v>#N/A</v>
      </c>
      <c r="R4" s="10" t="e">
        <f>VLOOKUP(P4,Cabinas[],3,FALSE)</f>
        <v>#N/A</v>
      </c>
    </row>
    <row r="5" spans="1:18">
      <c r="A5" s="5"/>
      <c r="B5" s="5"/>
      <c r="C5" s="5"/>
      <c r="D5" s="5"/>
      <c r="E5" s="6"/>
      <c r="F5" s="5"/>
      <c r="G5" s="7"/>
      <c r="H5" s="7"/>
      <c r="I5" s="5"/>
      <c r="J5" s="5"/>
      <c r="K5" s="5"/>
      <c r="L5" s="5"/>
      <c r="M5" s="5"/>
      <c r="N5" s="5"/>
      <c r="O5" s="9"/>
      <c r="P5" s="10"/>
      <c r="Q5" s="10" t="e">
        <f>VLOOKUP(O5,Viajes[],4,FALSE)</f>
        <v>#N/A</v>
      </c>
      <c r="R5" s="10" t="e">
        <f>VLOOKUP(P5,Cabinas[],3,FALSE)</f>
        <v>#N/A</v>
      </c>
    </row>
    <row r="6" spans="1:18">
      <c r="A6" s="5"/>
      <c r="B6" s="5"/>
      <c r="C6" s="5"/>
      <c r="D6" s="5"/>
      <c r="E6" s="6"/>
      <c r="F6" s="5"/>
      <c r="G6" s="7"/>
      <c r="H6" s="7"/>
      <c r="I6" s="5"/>
      <c r="J6" s="5"/>
      <c r="K6" s="5"/>
      <c r="L6" s="5"/>
      <c r="M6" s="5"/>
      <c r="N6" s="5"/>
      <c r="O6" s="9"/>
      <c r="P6" s="10"/>
      <c r="Q6" s="10" t="e">
        <f>VLOOKUP(O6,Viajes[],4,FALSE)</f>
        <v>#N/A</v>
      </c>
      <c r="R6" s="10" t="e">
        <f>VLOOKUP(P6,Cabinas[],3,FALSE)</f>
        <v>#N/A</v>
      </c>
    </row>
    <row r="7" spans="1:18">
      <c r="A7" s="5"/>
      <c r="B7" s="5"/>
      <c r="C7" s="5"/>
      <c r="D7" s="5"/>
      <c r="E7" s="6"/>
      <c r="F7" s="5"/>
      <c r="G7" s="7"/>
      <c r="H7" s="7"/>
      <c r="I7" s="5"/>
      <c r="J7" s="5"/>
      <c r="K7" s="5"/>
      <c r="L7" s="5"/>
      <c r="M7" s="5"/>
      <c r="N7" s="5"/>
      <c r="O7" s="9"/>
      <c r="P7" s="10"/>
      <c r="Q7" s="10" t="e">
        <f>VLOOKUP(O7,Viajes[],4,FALSE)</f>
        <v>#N/A</v>
      </c>
      <c r="R7" s="10" t="e">
        <f>VLOOKUP(P7,Cabinas[],3,FALSE)</f>
        <v>#N/A</v>
      </c>
    </row>
    <row r="8" spans="1:18">
      <c r="A8" s="5"/>
      <c r="B8" s="5"/>
      <c r="C8" s="5"/>
      <c r="D8" s="5"/>
      <c r="E8" s="6"/>
      <c r="F8" s="5"/>
      <c r="G8" s="7"/>
      <c r="H8" s="7"/>
      <c r="I8" s="5"/>
      <c r="J8" s="5"/>
      <c r="K8" s="5"/>
      <c r="L8" s="5"/>
      <c r="M8" s="5"/>
      <c r="N8" s="5"/>
      <c r="O8" s="9"/>
      <c r="P8" s="10"/>
      <c r="Q8" s="10" t="e">
        <f>VLOOKUP(O8,Viajes[],4,FALSE)</f>
        <v>#N/A</v>
      </c>
      <c r="R8" s="10" t="e">
        <f>VLOOKUP(P8,Cabinas[],3,FALSE)</f>
        <v>#N/A</v>
      </c>
    </row>
    <row r="9" spans="1:18">
      <c r="A9" s="5"/>
      <c r="B9" s="5"/>
      <c r="C9" s="5"/>
      <c r="D9" s="5"/>
      <c r="E9" s="6"/>
      <c r="F9" s="5"/>
      <c r="G9" s="7"/>
      <c r="H9" s="7"/>
      <c r="I9" s="5"/>
      <c r="J9" s="5"/>
      <c r="K9" s="5"/>
      <c r="L9" s="5"/>
      <c r="M9" s="5"/>
      <c r="N9" s="5"/>
      <c r="O9" s="9"/>
      <c r="P9" s="10"/>
      <c r="Q9" s="10" t="e">
        <f>VLOOKUP(O9,Viajes[],4,FALSE)</f>
        <v>#N/A</v>
      </c>
      <c r="R9" s="10" t="e">
        <f>VLOOKUP(P9,Cabinas[],3,FALSE)</f>
        <v>#N/A</v>
      </c>
    </row>
    <row r="10" spans="1:18">
      <c r="A10" s="5"/>
      <c r="B10" s="5"/>
      <c r="C10" s="5"/>
      <c r="D10" s="5"/>
      <c r="E10" s="6"/>
      <c r="F10" s="5"/>
      <c r="G10" s="7"/>
      <c r="H10" s="7"/>
      <c r="I10" s="5"/>
      <c r="J10" s="5"/>
      <c r="K10" s="5"/>
      <c r="L10" s="5"/>
      <c r="M10" s="5"/>
      <c r="N10" s="5"/>
      <c r="O10" s="9"/>
      <c r="P10" s="10"/>
      <c r="Q10" s="10" t="e">
        <f>VLOOKUP(O10,Viajes[],4,FALSE)</f>
        <v>#N/A</v>
      </c>
      <c r="R10" s="10" t="e">
        <f>VLOOKUP(P10,Cabinas[],3,FALSE)</f>
        <v>#N/A</v>
      </c>
    </row>
    <row r="11" spans="1:18">
      <c r="A11" s="5"/>
      <c r="B11" s="5"/>
      <c r="C11" s="5"/>
      <c r="D11" s="5"/>
      <c r="E11" s="6"/>
      <c r="F11" s="5"/>
      <c r="G11" s="7"/>
      <c r="H11" s="7"/>
      <c r="I11" s="5"/>
      <c r="J11" s="5"/>
      <c r="K11" s="5"/>
      <c r="L11" s="5"/>
      <c r="M11" s="5"/>
      <c r="N11" s="5"/>
      <c r="O11" s="9"/>
      <c r="P11" s="10"/>
      <c r="Q11" s="10" t="e">
        <f>VLOOKUP(O11,Viajes[],4,FALSE)</f>
        <v>#N/A</v>
      </c>
      <c r="R11" s="10" t="e">
        <f>VLOOKUP(P11,Cabinas[],3,FALSE)</f>
        <v>#N/A</v>
      </c>
    </row>
    <row r="12" spans="1:18">
      <c r="A12" s="5"/>
      <c r="B12" s="5"/>
      <c r="C12" s="5"/>
      <c r="D12" s="5"/>
      <c r="E12" s="6"/>
      <c r="F12" s="5"/>
      <c r="G12" s="7"/>
      <c r="H12" s="7"/>
      <c r="I12" s="5"/>
      <c r="J12" s="8"/>
      <c r="K12" s="5"/>
      <c r="L12" s="5"/>
      <c r="M12" s="5"/>
      <c r="N12" s="5"/>
      <c r="O12" s="9"/>
      <c r="P12" s="10"/>
      <c r="Q12" s="10" t="e">
        <f>VLOOKUP(O12,Viajes[],4,FALSE)</f>
        <v>#N/A</v>
      </c>
      <c r="R12" s="10" t="e">
        <f>VLOOKUP(P12,Cabinas[],3,FALSE)</f>
        <v>#N/A</v>
      </c>
    </row>
    <row r="13" spans="1:18">
      <c r="A13" s="5"/>
      <c r="B13" s="5"/>
      <c r="C13" s="5"/>
      <c r="D13" s="5"/>
      <c r="E13" s="6"/>
      <c r="F13" s="5"/>
      <c r="G13" s="7"/>
      <c r="H13" s="7"/>
      <c r="I13" s="5"/>
      <c r="J13" s="8"/>
      <c r="K13" s="5"/>
      <c r="L13" s="5"/>
      <c r="M13" s="5"/>
      <c r="N13" s="5"/>
      <c r="O13" s="9"/>
      <c r="P13" s="10"/>
      <c r="Q13" s="10" t="e">
        <f>VLOOKUP(O13,Viajes[],4,FALSE)</f>
        <v>#N/A</v>
      </c>
      <c r="R13" s="10" t="e">
        <f>VLOOKUP(P13,Cabinas[],3,FALSE)</f>
        <v>#N/A</v>
      </c>
    </row>
    <row r="14" spans="1:18">
      <c r="A14" s="5"/>
      <c r="B14" s="5"/>
      <c r="C14" s="5"/>
      <c r="D14" s="5"/>
      <c r="E14" s="6"/>
      <c r="F14" s="5"/>
      <c r="G14" s="7"/>
      <c r="H14" s="7"/>
      <c r="I14" s="5"/>
      <c r="J14" s="8"/>
      <c r="K14" s="5"/>
      <c r="L14" s="5"/>
      <c r="M14" s="5"/>
      <c r="N14" s="5"/>
      <c r="O14" s="9"/>
      <c r="P14" s="10"/>
      <c r="Q14" s="10" t="e">
        <f>VLOOKUP(O14,Viajes[],4,FALSE)</f>
        <v>#N/A</v>
      </c>
      <c r="R14" s="10" t="e">
        <f>VLOOKUP(P14,Cabinas[],3,FALSE)</f>
        <v>#N/A</v>
      </c>
    </row>
    <row r="15" spans="1:18">
      <c r="A15" s="5"/>
      <c r="B15" s="5"/>
      <c r="C15" s="5"/>
      <c r="D15" s="5"/>
      <c r="E15" s="6"/>
      <c r="F15" s="5"/>
      <c r="G15" s="7"/>
      <c r="H15" s="7"/>
      <c r="I15" s="5"/>
      <c r="J15" s="8"/>
      <c r="K15" s="5"/>
      <c r="L15" s="5"/>
      <c r="M15" s="5"/>
      <c r="N15" s="5"/>
      <c r="O15" s="9"/>
      <c r="P15" s="10"/>
      <c r="Q15" s="10" t="e">
        <f>VLOOKUP(O15,Viajes[],4,FALSE)</f>
        <v>#N/A</v>
      </c>
      <c r="R15" s="10" t="e">
        <f>VLOOKUP(P15,Cabinas[],3,FALSE)</f>
        <v>#N/A</v>
      </c>
    </row>
    <row r="16" spans="1:18">
      <c r="A16" s="5"/>
      <c r="B16" s="5"/>
      <c r="C16" s="5"/>
      <c r="D16" s="5"/>
      <c r="E16" s="6"/>
      <c r="F16" s="5"/>
      <c r="G16" s="7"/>
      <c r="H16" s="7"/>
      <c r="I16" s="5"/>
      <c r="J16" s="8"/>
      <c r="K16" s="5"/>
      <c r="L16" s="5"/>
      <c r="M16" s="5"/>
      <c r="N16" s="5"/>
      <c r="O16" s="9"/>
      <c r="P16" s="10"/>
      <c r="Q16" s="10" t="e">
        <f>VLOOKUP(O16,Viajes[],4,FALSE)</f>
        <v>#N/A</v>
      </c>
      <c r="R16" s="10" t="e">
        <f>VLOOKUP(P16,Cabinas[],3,FALSE)</f>
        <v>#N/A</v>
      </c>
    </row>
    <row r="17" spans="1:18">
      <c r="A17" s="5"/>
      <c r="B17" s="5"/>
      <c r="C17" s="5"/>
      <c r="D17" s="5"/>
      <c r="E17" s="6"/>
      <c r="F17" s="5"/>
      <c r="G17" s="7"/>
      <c r="H17" s="7"/>
      <c r="I17" s="5"/>
      <c r="J17" s="8"/>
      <c r="K17" s="5"/>
      <c r="L17" s="5"/>
      <c r="M17" s="5"/>
      <c r="N17" s="5"/>
      <c r="O17" s="9"/>
      <c r="P17" s="10"/>
      <c r="Q17" s="10" t="e">
        <f>VLOOKUP(O17,Viajes[],4,FALSE)</f>
        <v>#N/A</v>
      </c>
      <c r="R17" s="10" t="e">
        <f>VLOOKUP(P17,Cabinas[],3,FALSE)</f>
        <v>#N/A</v>
      </c>
    </row>
    <row r="18" spans="1:18">
      <c r="A18" s="5"/>
      <c r="B18" s="5"/>
      <c r="C18" s="5"/>
      <c r="D18" s="5"/>
      <c r="E18" s="6"/>
      <c r="F18" s="5"/>
      <c r="G18" s="7"/>
      <c r="H18" s="7"/>
      <c r="I18" s="5"/>
      <c r="J18" s="8"/>
      <c r="K18" s="5"/>
      <c r="L18" s="5"/>
      <c r="M18" s="5"/>
      <c r="N18" s="5"/>
      <c r="O18" s="9"/>
      <c r="P18" s="10"/>
      <c r="Q18" s="10" t="e">
        <f>VLOOKUP(O18,Viajes[],4,FALSE)</f>
        <v>#N/A</v>
      </c>
      <c r="R18" s="10" t="e">
        <f>VLOOKUP(P18,Cabinas[],3,FALSE)</f>
        <v>#N/A</v>
      </c>
    </row>
    <row r="19" spans="1:18">
      <c r="A19" s="5"/>
      <c r="B19" s="5"/>
      <c r="C19" s="5"/>
      <c r="D19" s="5"/>
      <c r="E19" s="6"/>
      <c r="F19" s="5"/>
      <c r="G19" s="7"/>
      <c r="H19" s="7"/>
      <c r="I19" s="5"/>
      <c r="J19" s="8"/>
      <c r="K19" s="5"/>
      <c r="L19" s="5"/>
      <c r="M19" s="5"/>
      <c r="N19" s="5"/>
      <c r="O19" s="9"/>
      <c r="P19" s="10"/>
      <c r="Q19" s="10" t="e">
        <f>VLOOKUP(O19,Viajes[],4,FALSE)</f>
        <v>#N/A</v>
      </c>
      <c r="R19" s="10" t="e">
        <f>VLOOKUP(P19,Cabinas[],3,FALSE)</f>
        <v>#N/A</v>
      </c>
    </row>
    <row r="20" spans="1:18">
      <c r="A20" s="5"/>
      <c r="B20" s="5"/>
      <c r="C20" s="5"/>
      <c r="D20" s="5"/>
      <c r="E20" s="6"/>
      <c r="F20" s="5"/>
      <c r="G20" s="7"/>
      <c r="H20" s="7"/>
      <c r="I20" s="5"/>
      <c r="J20" s="8"/>
      <c r="K20" s="5"/>
      <c r="L20" s="5"/>
      <c r="M20" s="5"/>
      <c r="N20" s="5"/>
      <c r="O20" s="9"/>
      <c r="P20" s="10"/>
      <c r="Q20" s="10" t="e">
        <f>VLOOKUP(O20,Viajes[],4,FALSE)</f>
        <v>#N/A</v>
      </c>
      <c r="R20" s="10" t="e">
        <f>VLOOKUP(P20,Cabinas[],3,FALSE)</f>
        <v>#N/A</v>
      </c>
    </row>
    <row r="21" spans="1:18">
      <c r="A21" s="5"/>
      <c r="B21" s="5"/>
      <c r="C21" s="5"/>
      <c r="D21" s="5"/>
      <c r="E21" s="6"/>
      <c r="F21" s="5"/>
      <c r="G21" s="7"/>
      <c r="H21" s="7"/>
      <c r="I21" s="5"/>
      <c r="J21" s="8"/>
      <c r="K21" s="5"/>
      <c r="L21" s="5"/>
      <c r="M21" s="5"/>
      <c r="N21" s="5"/>
      <c r="O21" s="9"/>
      <c r="P21" s="10"/>
      <c r="Q21" s="10" t="e">
        <f>VLOOKUP(O21,Viajes[],4,FALSE)</f>
        <v>#N/A</v>
      </c>
      <c r="R21" s="10" t="e">
        <f>VLOOKUP(P21,Cabinas[],3,FALSE)</f>
        <v>#N/A</v>
      </c>
    </row>
    <row r="22" spans="1:18">
      <c r="A22" s="5"/>
      <c r="B22" s="5"/>
      <c r="C22" s="5"/>
      <c r="D22" s="5"/>
      <c r="E22" s="6"/>
      <c r="F22" s="5"/>
      <c r="G22" s="7"/>
      <c r="H22" s="7"/>
      <c r="I22" s="5"/>
      <c r="J22" s="8"/>
      <c r="K22" s="5"/>
      <c r="L22" s="5"/>
      <c r="M22" s="5"/>
      <c r="N22" s="5"/>
      <c r="O22" s="9"/>
      <c r="P22" s="10"/>
      <c r="Q22" s="10" t="e">
        <f>VLOOKUP(O22,Viajes[],4,FALSE)</f>
        <v>#N/A</v>
      </c>
      <c r="R22" s="10" t="e">
        <f>VLOOKUP(P22,Cabinas[],3,FALSE)</f>
        <v>#N/A</v>
      </c>
    </row>
    <row r="23" spans="1:18">
      <c r="O23" s="1"/>
      <c r="Q23" t="e">
        <f>VLOOKUP(O23,Viajes[],4,FALSE)</f>
        <v>#N/A</v>
      </c>
      <c r="R23" t="e">
        <f>VLOOKUP(P23,Cabinas[],3,FALSE)</f>
        <v>#N/A</v>
      </c>
    </row>
    <row r="24" spans="1:18">
      <c r="O24" s="1"/>
      <c r="Q24" t="e">
        <f>VLOOKUP(O24,Viajes[],4,FALSE)</f>
        <v>#N/A</v>
      </c>
      <c r="R24" t="e">
        <f>VLOOKUP(P24,Cabinas[],3,FALSE)</f>
        <v>#N/A</v>
      </c>
    </row>
    <row r="25" spans="1:18">
      <c r="O25" s="1"/>
      <c r="Q25" t="e">
        <f>VLOOKUP(O25,Viajes[],4,FALSE)</f>
        <v>#N/A</v>
      </c>
      <c r="R25" t="e">
        <f>VLOOKUP(P25,Cabinas[],3,FALSE)</f>
        <v>#N/A</v>
      </c>
    </row>
    <row r="26" spans="1:18">
      <c r="O26" s="1"/>
      <c r="Q26" t="e">
        <f>VLOOKUP(O26,Viajes[],4,FALSE)</f>
        <v>#N/A</v>
      </c>
      <c r="R26" t="e">
        <f>VLOOKUP(P26,Cabinas[],3,FALSE)</f>
        <v>#N/A</v>
      </c>
    </row>
    <row r="27" spans="1:18">
      <c r="O27" s="1"/>
      <c r="Q27" t="e">
        <f>VLOOKUP(O27,Viajes[],4,FALSE)</f>
        <v>#N/A</v>
      </c>
      <c r="R27" t="e">
        <f>VLOOKUP(P27,Cabinas[],3,FALSE)</f>
        <v>#N/A</v>
      </c>
    </row>
    <row r="28" spans="1:18">
      <c r="O28" s="1"/>
      <c r="Q28" t="e">
        <f>VLOOKUP(O28,Viajes[],4,FALSE)</f>
        <v>#N/A</v>
      </c>
      <c r="R28" t="e">
        <f>VLOOKUP(P28,Cabinas[],3,FALSE)</f>
        <v>#N/A</v>
      </c>
    </row>
    <row r="29" spans="1:18">
      <c r="O29" s="1"/>
      <c r="Q29" t="e">
        <f>VLOOKUP(O29,Viajes[],4,FALSE)</f>
        <v>#N/A</v>
      </c>
      <c r="R29" t="e">
        <f>VLOOKUP(P29,Cabinas[],3,FALSE)</f>
        <v>#N/A</v>
      </c>
    </row>
    <row r="30" spans="1:18">
      <c r="O30" s="1"/>
      <c r="Q30" t="e">
        <f>VLOOKUP(O30,Viajes[],4,FALSE)</f>
        <v>#N/A</v>
      </c>
      <c r="R30" t="e">
        <f>VLOOKUP(P30,Cabinas[],3,FALSE)</f>
        <v>#N/A</v>
      </c>
    </row>
    <row r="31" spans="1:18">
      <c r="O31" s="1"/>
      <c r="Q31" t="e">
        <f>VLOOKUP(O31,Viajes[],4,FALSE)</f>
        <v>#N/A</v>
      </c>
      <c r="R31" t="e">
        <f>VLOOKUP(P31,Cabinas[],3,FALSE)</f>
        <v>#N/A</v>
      </c>
    </row>
    <row r="32" spans="1:18">
      <c r="O32" s="1"/>
      <c r="Q32" t="e">
        <f>VLOOKUP(O32,Viajes[],4,FALSE)</f>
        <v>#N/A</v>
      </c>
      <c r="R32" t="e">
        <f>VLOOKUP(P32,Cabinas[],3,FALSE)</f>
        <v>#N/A</v>
      </c>
    </row>
    <row r="33" spans="15:18">
      <c r="O33" s="1"/>
      <c r="Q33" t="e">
        <f>VLOOKUP(O33,Viajes[],4,FALSE)</f>
        <v>#N/A</v>
      </c>
      <c r="R33" t="e">
        <f>VLOOKUP(P33,Cabinas[],3,FALSE)</f>
        <v>#N/A</v>
      </c>
    </row>
    <row r="34" spans="15:18">
      <c r="O34" s="1"/>
      <c r="Q34" t="e">
        <f>VLOOKUP(O34,Viajes[],4,FALSE)</f>
        <v>#N/A</v>
      </c>
      <c r="R34" t="e">
        <f>VLOOKUP(P34,Cabinas[],3,FALSE)</f>
        <v>#N/A</v>
      </c>
    </row>
    <row r="35" spans="15:18">
      <c r="O35" s="1"/>
      <c r="Q35" t="e">
        <f>VLOOKUP(O35,Viajes[],4,FALSE)</f>
        <v>#N/A</v>
      </c>
      <c r="R35" t="e">
        <f>VLOOKUP(P35,Cabinas[],3,FALSE)</f>
        <v>#N/A</v>
      </c>
    </row>
    <row r="36" spans="15:18">
      <c r="O36" s="1"/>
      <c r="Q36" t="e">
        <f>VLOOKUP(O36,Viajes[],4,FALSE)</f>
        <v>#N/A</v>
      </c>
      <c r="R36" t="e">
        <f>VLOOKUP(P36,Cabinas[],3,FALSE)</f>
        <v>#N/A</v>
      </c>
    </row>
    <row r="37" spans="15:18">
      <c r="O37" s="1"/>
      <c r="Q37" t="e">
        <f>VLOOKUP(O37,Viajes[],4,FALSE)</f>
        <v>#N/A</v>
      </c>
      <c r="R37" t="e">
        <f>VLOOKUP(P37,Cabinas[],3,FALSE)</f>
        <v>#N/A</v>
      </c>
    </row>
    <row r="38" spans="15:18">
      <c r="O38" s="1"/>
      <c r="Q38" t="e">
        <f>VLOOKUP(O38,Viajes[],4,FALSE)</f>
        <v>#N/A</v>
      </c>
      <c r="R38" t="e">
        <f>VLOOKUP(P38,Cabinas[],3,FALSE)</f>
        <v>#N/A</v>
      </c>
    </row>
    <row r="39" spans="15:18">
      <c r="O39" s="1"/>
      <c r="Q39" t="e">
        <f>VLOOKUP(O39,Viajes[],4,FALSE)</f>
        <v>#N/A</v>
      </c>
      <c r="R39" t="e">
        <f>VLOOKUP(P39,Cabinas[],3,FALSE)</f>
        <v>#N/A</v>
      </c>
    </row>
    <row r="40" spans="15:18">
      <c r="O40" s="1"/>
      <c r="Q40" t="e">
        <f>VLOOKUP(O40,Viajes[],4,FALSE)</f>
        <v>#N/A</v>
      </c>
      <c r="R40" t="e">
        <f>VLOOKUP(P40,Cabinas[],3,FALSE)</f>
        <v>#N/A</v>
      </c>
    </row>
    <row r="41" spans="15:18">
      <c r="O41" s="1"/>
      <c r="Q41" t="e">
        <f>VLOOKUP(O41,Viajes[],4,FALSE)</f>
        <v>#N/A</v>
      </c>
      <c r="R41" t="e">
        <f>VLOOKUP(P41,Cabinas[],3,FALSE)</f>
        <v>#N/A</v>
      </c>
    </row>
    <row r="42" spans="15:18">
      <c r="O42" s="1"/>
      <c r="Q42" t="e">
        <f>VLOOKUP(O42,Viajes[],4,FALSE)</f>
        <v>#N/A</v>
      </c>
      <c r="R42" t="e">
        <f>VLOOKUP(P42,Cabinas[],3,FALSE)</f>
        <v>#N/A</v>
      </c>
    </row>
    <row r="43" spans="15:18">
      <c r="O43" s="1"/>
      <c r="Q43" t="e">
        <f>VLOOKUP(O43,Viajes[],4,FALSE)</f>
        <v>#N/A</v>
      </c>
      <c r="R43" t="e">
        <f>VLOOKUP(P43,Cabinas[],3,FALSE)</f>
        <v>#N/A</v>
      </c>
    </row>
    <row r="44" spans="15:18">
      <c r="O44" s="1"/>
      <c r="Q44" t="e">
        <f>VLOOKUP(O44,Viajes[],4,FALSE)</f>
        <v>#N/A</v>
      </c>
      <c r="R44" t="e">
        <f>VLOOKUP(P44,Cabinas[],3,FALSE)</f>
        <v>#N/A</v>
      </c>
    </row>
    <row r="45" spans="15:18">
      <c r="O45" s="1"/>
      <c r="Q45" t="e">
        <f>VLOOKUP(O45,Viajes[],4,FALSE)</f>
        <v>#N/A</v>
      </c>
      <c r="R45" t="e">
        <f>VLOOKUP(P45,Cabinas[],3,FALSE)</f>
        <v>#N/A</v>
      </c>
    </row>
    <row r="46" spans="15:18">
      <c r="O46" s="1"/>
      <c r="Q46" t="e">
        <f>VLOOKUP(O46,Viajes[],4,FALSE)</f>
        <v>#N/A</v>
      </c>
      <c r="R46" t="e">
        <f>VLOOKUP(P46,Cabinas[],3,FALSE)</f>
        <v>#N/A</v>
      </c>
    </row>
    <row r="47" spans="15:18">
      <c r="O47" s="1"/>
      <c r="Q47" t="e">
        <f>VLOOKUP(O47,Viajes[],4,FALSE)</f>
        <v>#N/A</v>
      </c>
      <c r="R47" t="e">
        <f>VLOOKUP(P47,Cabinas[],3,FALSE)</f>
        <v>#N/A</v>
      </c>
    </row>
    <row r="48" spans="15:18">
      <c r="O48" s="1"/>
      <c r="Q48" t="e">
        <f>VLOOKUP(O48,Viajes[],4,FALSE)</f>
        <v>#N/A</v>
      </c>
      <c r="R48" t="e">
        <f>VLOOKUP(P48,Cabinas[],3,FALSE)</f>
        <v>#N/A</v>
      </c>
    </row>
    <row r="49" spans="15:18">
      <c r="O49" s="1"/>
      <c r="Q49" t="e">
        <f>VLOOKUP(O49,Viajes[],4,FALSE)</f>
        <v>#N/A</v>
      </c>
      <c r="R49" t="e">
        <f>VLOOKUP(P49,Cabinas[],3,FALSE)</f>
        <v>#N/A</v>
      </c>
    </row>
    <row r="50" spans="15:18">
      <c r="O50" s="1"/>
      <c r="Q50" t="e">
        <f>VLOOKUP(O50,Viajes[],4,FALSE)</f>
        <v>#N/A</v>
      </c>
      <c r="R50" t="e">
        <f>VLOOKUP(P50,Cabinas[],3,FALSE)</f>
        <v>#N/A</v>
      </c>
    </row>
    <row r="51" spans="15:18">
      <c r="O51" s="1"/>
      <c r="Q51" t="e">
        <f>VLOOKUP(O51,Viajes[],4,FALSE)</f>
        <v>#N/A</v>
      </c>
      <c r="R51" t="e">
        <f>VLOOKUP(P51,Cabinas[],3,FALSE)</f>
        <v>#N/A</v>
      </c>
    </row>
    <row r="52" spans="15:18">
      <c r="O52" s="1"/>
      <c r="Q52" t="e">
        <f>VLOOKUP(O52,Viajes[],4,FALSE)</f>
        <v>#N/A</v>
      </c>
      <c r="R52" t="e">
        <f>VLOOKUP(P52,Cabinas[],3,FALSE)</f>
        <v>#N/A</v>
      </c>
    </row>
    <row r="53" spans="15:18">
      <c r="O53" s="1"/>
      <c r="Q53" t="e">
        <f>VLOOKUP(O53,Viajes[],4,FALSE)</f>
        <v>#N/A</v>
      </c>
      <c r="R53" t="e">
        <f>VLOOKUP(P53,Cabinas[],3,FALSE)</f>
        <v>#N/A</v>
      </c>
    </row>
    <row r="54" spans="15:18">
      <c r="O54" s="1"/>
      <c r="Q54" t="e">
        <f>VLOOKUP(O54,Viajes[],4,FALSE)</f>
        <v>#N/A</v>
      </c>
      <c r="R54" t="e">
        <f>VLOOKUP(P54,Cabinas[],3,FALSE)</f>
        <v>#N/A</v>
      </c>
    </row>
    <row r="55" spans="15:18">
      <c r="O55" s="1"/>
      <c r="Q55" t="e">
        <f>VLOOKUP(O55,Viajes[],4,FALSE)</f>
        <v>#N/A</v>
      </c>
      <c r="R55" t="e">
        <f>VLOOKUP(P55,Cabinas[],3,FALSE)</f>
        <v>#N/A</v>
      </c>
    </row>
    <row r="56" spans="15:18">
      <c r="O56" s="1"/>
      <c r="Q56" t="e">
        <f>VLOOKUP(O56,Viajes[],4,FALSE)</f>
        <v>#N/A</v>
      </c>
      <c r="R56" t="e">
        <f>VLOOKUP(P56,Cabinas[],3,FALSE)</f>
        <v>#N/A</v>
      </c>
    </row>
    <row r="57" spans="15:18">
      <c r="O57" s="1"/>
      <c r="Q57" t="e">
        <f>VLOOKUP(O57,Viajes[],4,FALSE)</f>
        <v>#N/A</v>
      </c>
      <c r="R57" t="e">
        <f>VLOOKUP(P57,Cabinas[],3,FALSE)</f>
        <v>#N/A</v>
      </c>
    </row>
    <row r="58" spans="15:18">
      <c r="O58" s="1"/>
      <c r="Q58" t="e">
        <f>VLOOKUP(O58,Viajes[],4,FALSE)</f>
        <v>#N/A</v>
      </c>
      <c r="R58" t="e">
        <f>VLOOKUP(P58,Cabinas[],3,FALSE)</f>
        <v>#N/A</v>
      </c>
    </row>
    <row r="59" spans="15:18">
      <c r="O59" s="1"/>
      <c r="Q59" t="e">
        <f>VLOOKUP(O59,Viajes[],4,FALSE)</f>
        <v>#N/A</v>
      </c>
      <c r="R59" t="e">
        <f>VLOOKUP(P59,Cabinas[],3,FALSE)</f>
        <v>#N/A</v>
      </c>
    </row>
    <row r="60" spans="15:18">
      <c r="O60" s="1"/>
      <c r="Q60" t="e">
        <f>VLOOKUP(O60,Viajes[],4,FALSE)</f>
        <v>#N/A</v>
      </c>
      <c r="R60" t="e">
        <f>VLOOKUP(P60,Cabinas[],3,FALSE)</f>
        <v>#N/A</v>
      </c>
    </row>
    <row r="61" spans="15:18">
      <c r="O61" s="1"/>
      <c r="Q61" t="e">
        <f>VLOOKUP(O61,Viajes[],4,FALSE)</f>
        <v>#N/A</v>
      </c>
      <c r="R61" t="e">
        <f>VLOOKUP(P61,Cabinas[],3,FALSE)</f>
        <v>#N/A</v>
      </c>
    </row>
    <row r="62" spans="15:18">
      <c r="O62" s="1"/>
      <c r="Q62" t="e">
        <f>VLOOKUP(O62,Viajes[],4,FALSE)</f>
        <v>#N/A</v>
      </c>
      <c r="R62" t="e">
        <f>VLOOKUP(P62,Cabinas[],3,FALSE)</f>
        <v>#N/A</v>
      </c>
    </row>
    <row r="63" spans="15:18">
      <c r="O63" s="1"/>
      <c r="Q63" t="e">
        <f>VLOOKUP(O63,Viajes[],4,FALSE)</f>
        <v>#N/A</v>
      </c>
      <c r="R63" t="e">
        <f>VLOOKUP(P63,Cabinas[],3,FALSE)</f>
        <v>#N/A</v>
      </c>
    </row>
    <row r="64" spans="15:18">
      <c r="O64" s="1"/>
      <c r="Q64" t="e">
        <f>VLOOKUP(O64,Viajes[],4,FALSE)</f>
        <v>#N/A</v>
      </c>
      <c r="R64" t="e">
        <f>VLOOKUP(P64,Cabinas[],3,FALSE)</f>
        <v>#N/A</v>
      </c>
    </row>
    <row r="65" spans="15:18">
      <c r="O65" s="1"/>
      <c r="Q65" t="e">
        <f>VLOOKUP(O65,Viajes[],4,FALSE)</f>
        <v>#N/A</v>
      </c>
      <c r="R65" t="e">
        <f>VLOOKUP(P65,Cabinas[],3,FALSE)</f>
        <v>#N/A</v>
      </c>
    </row>
    <row r="66" spans="15:18">
      <c r="O66" s="1"/>
      <c r="Q66" t="e">
        <f>VLOOKUP(O66,Viajes[],4,FALSE)</f>
        <v>#N/A</v>
      </c>
      <c r="R66" t="e">
        <f>VLOOKUP(P66,Cabinas[],3,FALSE)</f>
        <v>#N/A</v>
      </c>
    </row>
    <row r="67" spans="15:18">
      <c r="O67" s="1"/>
      <c r="Q67" t="e">
        <f>VLOOKUP(O67,Viajes[],4,FALSE)</f>
        <v>#N/A</v>
      </c>
      <c r="R67" t="e">
        <f>VLOOKUP(P67,Cabinas[],3,FALSE)</f>
        <v>#N/A</v>
      </c>
    </row>
    <row r="68" spans="15:18">
      <c r="O68" s="1"/>
      <c r="Q68" t="e">
        <f>VLOOKUP(O68,Viajes[],4,FALSE)</f>
        <v>#N/A</v>
      </c>
      <c r="R68" t="e">
        <f>VLOOKUP(P68,Cabinas[],3,FALSE)</f>
        <v>#N/A</v>
      </c>
    </row>
    <row r="69" spans="15:18">
      <c r="O69" s="1"/>
      <c r="Q69" t="e">
        <f>VLOOKUP(O69,Viajes[],4,FALSE)</f>
        <v>#N/A</v>
      </c>
      <c r="R69" t="e">
        <f>VLOOKUP(P69,Cabinas[],3,FALSE)</f>
        <v>#N/A</v>
      </c>
    </row>
    <row r="70" spans="15:18">
      <c r="O70" s="1"/>
      <c r="Q70" t="e">
        <f>VLOOKUP(O70,Viajes[],4,FALSE)</f>
        <v>#N/A</v>
      </c>
      <c r="R70" t="e">
        <f>VLOOKUP(P70,Cabinas[],3,FALSE)</f>
        <v>#N/A</v>
      </c>
    </row>
    <row r="71" spans="15:18">
      <c r="O71" s="1"/>
      <c r="Q71" t="e">
        <f>VLOOKUP(O71,Viajes[],4,FALSE)</f>
        <v>#N/A</v>
      </c>
      <c r="R71" t="e">
        <f>VLOOKUP(P71,Cabinas[],3,FALSE)</f>
        <v>#N/A</v>
      </c>
    </row>
    <row r="72" spans="15:18">
      <c r="O72" s="1"/>
      <c r="Q72" t="e">
        <f>VLOOKUP(O72,Viajes[],4,FALSE)</f>
        <v>#N/A</v>
      </c>
      <c r="R72" t="e">
        <f>VLOOKUP(P72,Cabinas[],3,FALSE)</f>
        <v>#N/A</v>
      </c>
    </row>
    <row r="73" spans="15:18">
      <c r="O73" s="1"/>
      <c r="Q73" t="e">
        <f>VLOOKUP(O73,Viajes[],4,FALSE)</f>
        <v>#N/A</v>
      </c>
      <c r="R73" t="e">
        <f>VLOOKUP(P73,Cabinas[],3,FALSE)</f>
        <v>#N/A</v>
      </c>
    </row>
    <row r="74" spans="15:18">
      <c r="O74" s="1"/>
      <c r="Q74" t="e">
        <f>VLOOKUP(O74,Viajes[],4,FALSE)</f>
        <v>#N/A</v>
      </c>
      <c r="R74" t="e">
        <f>VLOOKUP(P74,Cabinas[],3,FALSE)</f>
        <v>#N/A</v>
      </c>
    </row>
    <row r="75" spans="15:18">
      <c r="O75" s="1"/>
      <c r="Q75" t="e">
        <f>VLOOKUP(O75,Viajes[],4,FALSE)</f>
        <v>#N/A</v>
      </c>
      <c r="R75" t="e">
        <f>VLOOKUP(P75,Cabinas[],3,FALSE)</f>
        <v>#N/A</v>
      </c>
    </row>
    <row r="76" spans="15:18">
      <c r="O76" s="1"/>
      <c r="Q76" t="e">
        <f>VLOOKUP(O76,Viajes[],4,FALSE)</f>
        <v>#N/A</v>
      </c>
      <c r="R76" t="e">
        <f>VLOOKUP(P76,Cabinas[],3,FALSE)</f>
        <v>#N/A</v>
      </c>
    </row>
    <row r="77" spans="15:18">
      <c r="O77" s="1"/>
      <c r="Q77" t="e">
        <f>VLOOKUP(O77,Viajes[],4,FALSE)</f>
        <v>#N/A</v>
      </c>
      <c r="R77" t="e">
        <f>VLOOKUP(P77,Cabinas[],3,FALSE)</f>
        <v>#N/A</v>
      </c>
    </row>
    <row r="78" spans="15:18">
      <c r="O78" s="1"/>
      <c r="Q78" t="e">
        <f>VLOOKUP(O78,Viajes[],4,FALSE)</f>
        <v>#N/A</v>
      </c>
      <c r="R78" t="e">
        <f>VLOOKUP(P78,Cabinas[],3,FALSE)</f>
        <v>#N/A</v>
      </c>
    </row>
    <row r="79" spans="15:18">
      <c r="O79" s="1"/>
      <c r="Q79" t="e">
        <f>VLOOKUP(O79,Viajes[],4,FALSE)</f>
        <v>#N/A</v>
      </c>
      <c r="R79" t="e">
        <f>VLOOKUP(P79,Cabinas[],3,FALSE)</f>
        <v>#N/A</v>
      </c>
    </row>
    <row r="80" spans="15:18">
      <c r="O80" s="1"/>
      <c r="Q80" t="e">
        <f>VLOOKUP(O80,Viajes[],4,FALSE)</f>
        <v>#N/A</v>
      </c>
      <c r="R80" t="e">
        <f>VLOOKUP(P80,Cabinas[],3,FALSE)</f>
        <v>#N/A</v>
      </c>
    </row>
    <row r="81" spans="15:18">
      <c r="O81" s="1"/>
      <c r="Q81" t="e">
        <f>VLOOKUP(O81,Viajes[],4,FALSE)</f>
        <v>#N/A</v>
      </c>
      <c r="R81" t="e">
        <f>VLOOKUP(P81,Cabinas[],3,FALSE)</f>
        <v>#N/A</v>
      </c>
    </row>
    <row r="82" spans="15:18">
      <c r="O82" s="1"/>
      <c r="Q82" t="e">
        <f>VLOOKUP(O82,Viajes[],4,FALSE)</f>
        <v>#N/A</v>
      </c>
      <c r="R82" t="e">
        <f>VLOOKUP(P82,Cabinas[],3,FALSE)</f>
        <v>#N/A</v>
      </c>
    </row>
    <row r="83" spans="15:18">
      <c r="O83" s="1"/>
      <c r="Q83" t="e">
        <f>VLOOKUP(O83,Viajes[],4,FALSE)</f>
        <v>#N/A</v>
      </c>
      <c r="R83" t="e">
        <f>VLOOKUP(P83,Cabinas[],3,FALSE)</f>
        <v>#N/A</v>
      </c>
    </row>
    <row r="84" spans="15:18">
      <c r="O84" s="1"/>
      <c r="Q84" t="e">
        <f>VLOOKUP(O84,Viajes[],4,FALSE)</f>
        <v>#N/A</v>
      </c>
      <c r="R84" t="e">
        <f>VLOOKUP(P84,Cabinas[],3,FALSE)</f>
        <v>#N/A</v>
      </c>
    </row>
    <row r="85" spans="15:18">
      <c r="O85" s="1"/>
      <c r="Q85" t="e">
        <f>VLOOKUP(O85,Viajes[],4,FALSE)</f>
        <v>#N/A</v>
      </c>
      <c r="R85" t="e">
        <f>VLOOKUP(P85,Cabinas[],3,FALSE)</f>
        <v>#N/A</v>
      </c>
    </row>
    <row r="86" spans="15:18">
      <c r="O86" s="1"/>
      <c r="Q86" t="e">
        <f>VLOOKUP(O86,Viajes[],4,FALSE)</f>
        <v>#N/A</v>
      </c>
      <c r="R86" t="e">
        <f>VLOOKUP(P86,Cabinas[],3,FALSE)</f>
        <v>#N/A</v>
      </c>
    </row>
    <row r="87" spans="15:18">
      <c r="O87" s="1"/>
      <c r="Q87" t="e">
        <f>VLOOKUP(O87,Viajes[],4,FALSE)</f>
        <v>#N/A</v>
      </c>
      <c r="R87" t="e">
        <f>VLOOKUP(P87,Cabinas[],3,FALSE)</f>
        <v>#N/A</v>
      </c>
    </row>
    <row r="88" spans="15:18">
      <c r="O88" s="1"/>
      <c r="Q88" t="e">
        <f>VLOOKUP(O88,Viajes[],4,FALSE)</f>
        <v>#N/A</v>
      </c>
      <c r="R88" t="e">
        <f>VLOOKUP(P88,Cabinas[],3,FALSE)</f>
        <v>#N/A</v>
      </c>
    </row>
    <row r="89" spans="15:18">
      <c r="O89" s="1"/>
      <c r="Q89" t="e">
        <f>VLOOKUP(O89,Viajes[],4,FALSE)</f>
        <v>#N/A</v>
      </c>
      <c r="R89" t="e">
        <f>VLOOKUP(P89,Cabinas[],3,FALSE)</f>
        <v>#N/A</v>
      </c>
    </row>
    <row r="90" spans="15:18">
      <c r="O90" s="1"/>
      <c r="Q90" t="e">
        <f>VLOOKUP(O90,Viajes[],4,FALSE)</f>
        <v>#N/A</v>
      </c>
      <c r="R90" t="e">
        <f>VLOOKUP(P90,Cabinas[],3,FALSE)</f>
        <v>#N/A</v>
      </c>
    </row>
    <row r="91" spans="15:18">
      <c r="O91" s="1"/>
      <c r="Q91" t="e">
        <f>VLOOKUP(O91,Viajes[],4,FALSE)</f>
        <v>#N/A</v>
      </c>
      <c r="R91" t="e">
        <f>VLOOKUP(P91,Cabinas[],3,FALSE)</f>
        <v>#N/A</v>
      </c>
    </row>
    <row r="92" spans="15:18">
      <c r="O92" s="1"/>
      <c r="Q92" t="e">
        <f>VLOOKUP(O92,Viajes[],4,FALSE)</f>
        <v>#N/A</v>
      </c>
      <c r="R92" t="e">
        <f>VLOOKUP(P92,Cabinas[],3,FALSE)</f>
        <v>#N/A</v>
      </c>
    </row>
    <row r="93" spans="15:18">
      <c r="O93" s="1"/>
      <c r="Q93" t="e">
        <f>VLOOKUP(O93,Viajes[],4,FALSE)</f>
        <v>#N/A</v>
      </c>
      <c r="R93" t="e">
        <f>VLOOKUP(P93,Cabinas[],3,FALSE)</f>
        <v>#N/A</v>
      </c>
    </row>
    <row r="94" spans="15:18">
      <c r="O94" s="1"/>
      <c r="Q94" t="e">
        <f>VLOOKUP(O94,Viajes[],4,FALSE)</f>
        <v>#N/A</v>
      </c>
      <c r="R94" t="e">
        <f>VLOOKUP(P94,Cabinas[],3,FALSE)</f>
        <v>#N/A</v>
      </c>
    </row>
    <row r="95" spans="15:18">
      <c r="O95" s="1"/>
      <c r="Q95" t="e">
        <f>VLOOKUP(O95,Viajes[],4,FALSE)</f>
        <v>#N/A</v>
      </c>
      <c r="R95" t="e">
        <f>VLOOKUP(P95,Cabinas[],3,FALSE)</f>
        <v>#N/A</v>
      </c>
    </row>
    <row r="96" spans="15:18">
      <c r="O96" s="1"/>
      <c r="Q96" t="e">
        <f>VLOOKUP(O96,Viajes[],4,FALSE)</f>
        <v>#N/A</v>
      </c>
      <c r="R96" t="e">
        <f>VLOOKUP(P96,Cabinas[],3,FALSE)</f>
        <v>#N/A</v>
      </c>
    </row>
    <row r="97" spans="15:18">
      <c r="O97" s="1"/>
      <c r="Q97" t="e">
        <f>VLOOKUP(O97,Viajes[],4,FALSE)</f>
        <v>#N/A</v>
      </c>
      <c r="R97" t="e">
        <f>VLOOKUP(P97,Cabinas[],3,FALSE)</f>
        <v>#N/A</v>
      </c>
    </row>
    <row r="98" spans="15:18">
      <c r="O98" s="1"/>
      <c r="Q98" t="e">
        <f>VLOOKUP(O98,Viajes[],4,FALSE)</f>
        <v>#N/A</v>
      </c>
      <c r="R98" t="e">
        <f>VLOOKUP(P98,Cabinas[],3,FALSE)</f>
        <v>#N/A</v>
      </c>
    </row>
    <row r="99" spans="15:18">
      <c r="O99" s="1"/>
      <c r="Q99" t="e">
        <f>VLOOKUP(O99,Viajes[],4,FALSE)</f>
        <v>#N/A</v>
      </c>
      <c r="R99" t="e">
        <f>VLOOKUP(P99,Cabinas[],3,FALSE)</f>
        <v>#N/A</v>
      </c>
    </row>
    <row r="100" spans="15:18">
      <c r="O100" s="1"/>
      <c r="Q100" t="e">
        <f>VLOOKUP(O100,Viajes[],4,FALSE)</f>
        <v>#N/A</v>
      </c>
      <c r="R100" t="e">
        <f>VLOOKUP(P100,Cabinas[],3,FALSE)</f>
        <v>#N/A</v>
      </c>
    </row>
    <row r="101" spans="15:18">
      <c r="O101" s="1"/>
      <c r="Q101" t="e">
        <f>VLOOKUP(O101,Viajes[],4,FALSE)</f>
        <v>#N/A</v>
      </c>
      <c r="R101" t="e">
        <f>VLOOKUP(P101,Cabinas[],3,FALSE)</f>
        <v>#N/A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800E2E-CF91-4ADA-B096-A4C20F2F9657}">
          <x14:formula1>
            <xm:f>'Cabinas'!$A$2:$A$47</xm:f>
          </x14:formula1>
          <xm:sqref>P2:P101</xm:sqref>
        </x14:dataValidation>
        <x14:dataValidation type="list" allowBlank="1" showInputMessage="1" showErrorMessage="1" xr:uid="{DE203F31-E252-42FF-957D-FECAF8B41C90}">
          <x14:formula1>
            <xm:f>Viajes!$A$2:$A$18</xm:f>
          </x14:formula1>
          <xm:sqref>O2:O101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7DB8-B1EE-42C3-9939-6F7B10ABD0CB}">
  <dimension ref="A1:D18"/>
  <sheetViews>
    <sheetView workbookViewId="0">
      <selection activeCell="D1" sqref="D1"/>
    </sheetView>
  </sheetViews>
  <sheetFormatPr defaultRowHeight="15"/>
  <cols>
    <col min="1" max="1" width="16.7109375" bestFit="1" customWidth="1"/>
    <col min="2" max="2" width="16.42578125" bestFit="1" customWidth="1"/>
    <col min="3" max="3" width="22.140625" bestFit="1" customWidth="1"/>
    <col min="4" max="4" width="12.85546875" bestFit="1" customWidth="1"/>
  </cols>
  <sheetData>
    <row r="1" spans="1:4">
      <c r="A1" t="s">
        <v>27</v>
      </c>
      <c r="B1" t="s">
        <v>28</v>
      </c>
      <c r="C1" t="s">
        <v>29</v>
      </c>
      <c r="D1" t="s">
        <v>23</v>
      </c>
    </row>
    <row r="2" spans="1:4">
      <c r="A2" t="s">
        <v>30</v>
      </c>
      <c r="B2" s="3">
        <v>45943</v>
      </c>
      <c r="C2" s="3">
        <v>45964</v>
      </c>
      <c r="D2">
        <v>1</v>
      </c>
    </row>
    <row r="3" spans="1:4">
      <c r="A3" t="s">
        <v>31</v>
      </c>
      <c r="B3" s="3">
        <v>45964</v>
      </c>
      <c r="C3" s="3">
        <v>45973</v>
      </c>
      <c r="D3">
        <v>2</v>
      </c>
    </row>
    <row r="4" spans="1:4">
      <c r="A4" t="s">
        <v>32</v>
      </c>
      <c r="B4" s="3">
        <v>45973</v>
      </c>
      <c r="C4" s="3">
        <v>45983</v>
      </c>
      <c r="D4">
        <v>3</v>
      </c>
    </row>
    <row r="5" spans="1:4">
      <c r="A5" t="s">
        <v>33</v>
      </c>
      <c r="B5" s="3">
        <v>45983</v>
      </c>
      <c r="C5" s="3">
        <v>45992</v>
      </c>
      <c r="D5">
        <v>4</v>
      </c>
    </row>
    <row r="6" spans="1:4">
      <c r="A6" t="s">
        <v>34</v>
      </c>
      <c r="B6" s="3">
        <v>45992</v>
      </c>
      <c r="C6" s="3">
        <v>46002</v>
      </c>
      <c r="D6">
        <v>5</v>
      </c>
    </row>
    <row r="7" spans="1:4">
      <c r="A7" t="s">
        <v>35</v>
      </c>
      <c r="B7" s="3">
        <v>46002</v>
      </c>
      <c r="C7" s="3">
        <v>46011</v>
      </c>
      <c r="D7">
        <v>6</v>
      </c>
    </row>
    <row r="8" spans="1:4">
      <c r="A8" t="s">
        <v>36</v>
      </c>
      <c r="B8" s="3">
        <v>46011</v>
      </c>
      <c r="C8" s="3">
        <v>46020</v>
      </c>
      <c r="D8">
        <v>7</v>
      </c>
    </row>
    <row r="9" spans="1:4">
      <c r="A9" t="s">
        <v>37</v>
      </c>
      <c r="B9" s="3">
        <v>46020</v>
      </c>
      <c r="C9" s="3">
        <v>46029</v>
      </c>
      <c r="D9">
        <v>8</v>
      </c>
    </row>
    <row r="10" spans="1:4">
      <c r="A10" t="s">
        <v>38</v>
      </c>
      <c r="B10" s="3">
        <v>46029</v>
      </c>
      <c r="C10" s="3">
        <v>46038</v>
      </c>
      <c r="D10">
        <v>9</v>
      </c>
    </row>
    <row r="11" spans="1:4">
      <c r="A11" t="s">
        <v>39</v>
      </c>
      <c r="B11" s="3">
        <v>46038</v>
      </c>
      <c r="C11" s="3">
        <v>46047</v>
      </c>
      <c r="D11">
        <v>10</v>
      </c>
    </row>
    <row r="12" spans="1:4">
      <c r="A12" t="s">
        <v>40</v>
      </c>
      <c r="B12" s="3">
        <v>46047</v>
      </c>
      <c r="C12" s="3">
        <v>46056</v>
      </c>
      <c r="D12">
        <v>11</v>
      </c>
    </row>
    <row r="13" spans="1:4">
      <c r="A13" t="s">
        <v>41</v>
      </c>
      <c r="B13" s="3">
        <v>46056</v>
      </c>
      <c r="C13" s="3">
        <v>46067</v>
      </c>
      <c r="D13">
        <v>12</v>
      </c>
    </row>
    <row r="14" spans="1:4">
      <c r="A14" t="s">
        <v>42</v>
      </c>
      <c r="B14" s="3">
        <v>46067</v>
      </c>
      <c r="C14" s="3">
        <v>46078</v>
      </c>
      <c r="D14">
        <v>13</v>
      </c>
    </row>
    <row r="15" spans="1:4">
      <c r="A15" t="s">
        <v>43</v>
      </c>
      <c r="B15" s="3">
        <v>46078</v>
      </c>
      <c r="C15" s="3">
        <v>46088</v>
      </c>
      <c r="D15">
        <v>14</v>
      </c>
    </row>
    <row r="16" spans="1:4">
      <c r="A16" t="s">
        <v>44</v>
      </c>
      <c r="B16" s="3">
        <v>46088</v>
      </c>
      <c r="C16" s="3">
        <v>46098</v>
      </c>
      <c r="D16">
        <v>15</v>
      </c>
    </row>
    <row r="17" spans="1:4">
      <c r="A17" t="s">
        <v>45</v>
      </c>
      <c r="B17" s="3">
        <v>46098</v>
      </c>
      <c r="C17" s="3">
        <v>46107</v>
      </c>
      <c r="D17">
        <v>16</v>
      </c>
    </row>
    <row r="18" spans="1:4">
      <c r="A18" t="s">
        <v>46</v>
      </c>
      <c r="B18" s="3">
        <v>46107</v>
      </c>
      <c r="C18" s="3">
        <v>46115</v>
      </c>
      <c r="D18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3101-3595-49C3-948E-5932E3FF707C}">
  <dimension ref="A1:C47"/>
  <sheetViews>
    <sheetView topLeftCell="A28" workbookViewId="0">
      <selection activeCell="A2" sqref="A2"/>
    </sheetView>
  </sheetViews>
  <sheetFormatPr defaultRowHeight="15"/>
  <cols>
    <col min="1" max="1" width="16.28515625" bestFit="1" customWidth="1"/>
    <col min="2" max="2" width="26" customWidth="1"/>
    <col min="3" max="3" width="14.7109375" bestFit="1" customWidth="1"/>
  </cols>
  <sheetData>
    <row r="1" spans="1:3">
      <c r="A1" t="s">
        <v>47</v>
      </c>
      <c r="B1" t="s">
        <v>48</v>
      </c>
      <c r="C1" t="s">
        <v>49</v>
      </c>
    </row>
    <row r="2" spans="1:3">
      <c r="A2">
        <v>201</v>
      </c>
      <c r="B2" t="s">
        <v>50</v>
      </c>
      <c r="C2">
        <v>1</v>
      </c>
    </row>
    <row r="3" spans="1:3">
      <c r="A3">
        <v>202</v>
      </c>
      <c r="B3" t="s">
        <v>50</v>
      </c>
      <c r="C3">
        <v>2</v>
      </c>
    </row>
    <row r="4" spans="1:3">
      <c r="A4">
        <v>203</v>
      </c>
      <c r="B4" t="s">
        <v>51</v>
      </c>
      <c r="C4">
        <v>3</v>
      </c>
    </row>
    <row r="5" spans="1:3">
      <c r="A5">
        <v>204</v>
      </c>
      <c r="B5" t="s">
        <v>50</v>
      </c>
      <c r="C5">
        <v>4</v>
      </c>
    </row>
    <row r="6" spans="1:3">
      <c r="A6">
        <v>205</v>
      </c>
      <c r="B6" t="s">
        <v>52</v>
      </c>
      <c r="C6">
        <v>5</v>
      </c>
    </row>
    <row r="7" spans="1:3">
      <c r="A7">
        <v>207</v>
      </c>
      <c r="B7" t="s">
        <v>50</v>
      </c>
      <c r="C7">
        <v>6</v>
      </c>
    </row>
    <row r="8" spans="1:3">
      <c r="A8">
        <v>208</v>
      </c>
      <c r="B8" t="s">
        <v>52</v>
      </c>
      <c r="C8">
        <v>7</v>
      </c>
    </row>
    <row r="9" spans="1:3">
      <c r="A9">
        <v>210</v>
      </c>
      <c r="B9" t="s">
        <v>52</v>
      </c>
      <c r="C9">
        <v>8</v>
      </c>
    </row>
    <row r="10" spans="1:3">
      <c r="A10">
        <v>211</v>
      </c>
      <c r="B10" t="s">
        <v>52</v>
      </c>
      <c r="C10">
        <v>9</v>
      </c>
    </row>
    <row r="11" spans="1:3">
      <c r="A11">
        <v>212</v>
      </c>
      <c r="B11" t="s">
        <v>52</v>
      </c>
      <c r="C11">
        <v>10</v>
      </c>
    </row>
    <row r="12" spans="1:3">
      <c r="A12">
        <v>213</v>
      </c>
      <c r="B12" t="s">
        <v>52</v>
      </c>
      <c r="C12">
        <v>11</v>
      </c>
    </row>
    <row r="13" spans="1:3">
      <c r="A13">
        <v>214</v>
      </c>
      <c r="B13" t="s">
        <v>53</v>
      </c>
      <c r="C13">
        <v>12</v>
      </c>
    </row>
    <row r="14" spans="1:3">
      <c r="A14">
        <v>215</v>
      </c>
      <c r="B14" t="s">
        <v>53</v>
      </c>
      <c r="C14">
        <v>13</v>
      </c>
    </row>
    <row r="15" spans="1:3">
      <c r="A15">
        <v>301</v>
      </c>
      <c r="B15" t="s">
        <v>51</v>
      </c>
      <c r="C15">
        <v>14</v>
      </c>
    </row>
    <row r="16" spans="1:3">
      <c r="A16">
        <v>302</v>
      </c>
      <c r="B16" t="s">
        <v>51</v>
      </c>
      <c r="C16">
        <v>15</v>
      </c>
    </row>
    <row r="17" spans="1:3">
      <c r="A17">
        <v>303</v>
      </c>
      <c r="B17" t="s">
        <v>51</v>
      </c>
      <c r="C17">
        <v>16</v>
      </c>
    </row>
    <row r="18" spans="1:3">
      <c r="A18">
        <v>304</v>
      </c>
      <c r="B18" t="s">
        <v>51</v>
      </c>
      <c r="C18">
        <v>17</v>
      </c>
    </row>
    <row r="19" spans="1:3">
      <c r="A19">
        <v>305</v>
      </c>
      <c r="B19" t="s">
        <v>51</v>
      </c>
      <c r="C19">
        <v>18</v>
      </c>
    </row>
    <row r="20" spans="1:3">
      <c r="A20">
        <v>306</v>
      </c>
      <c r="B20" t="s">
        <v>51</v>
      </c>
      <c r="C20">
        <v>19</v>
      </c>
    </row>
    <row r="21" spans="1:3">
      <c r="A21">
        <v>307</v>
      </c>
      <c r="B21" t="s">
        <v>51</v>
      </c>
      <c r="C21">
        <v>20</v>
      </c>
    </row>
    <row r="22" spans="1:3">
      <c r="A22">
        <v>308</v>
      </c>
      <c r="B22" t="s">
        <v>51</v>
      </c>
      <c r="C22">
        <v>21</v>
      </c>
    </row>
    <row r="23" spans="1:3">
      <c r="A23">
        <v>407</v>
      </c>
      <c r="B23" t="s">
        <v>54</v>
      </c>
      <c r="C23">
        <v>22</v>
      </c>
    </row>
    <row r="24" spans="1:3">
      <c r="A24">
        <v>408</v>
      </c>
      <c r="B24" t="s">
        <v>54</v>
      </c>
      <c r="C24">
        <v>23</v>
      </c>
    </row>
    <row r="25" spans="1:3">
      <c r="A25">
        <v>409</v>
      </c>
      <c r="B25" t="s">
        <v>54</v>
      </c>
      <c r="C25">
        <v>24</v>
      </c>
    </row>
    <row r="26" spans="1:3">
      <c r="A26">
        <v>410</v>
      </c>
      <c r="B26" t="s">
        <v>54</v>
      </c>
      <c r="C26">
        <v>25</v>
      </c>
    </row>
    <row r="27" spans="1:3">
      <c r="A27">
        <v>411</v>
      </c>
      <c r="B27" t="s">
        <v>54</v>
      </c>
      <c r="C27">
        <v>26</v>
      </c>
    </row>
    <row r="28" spans="1:3">
      <c r="A28">
        <v>412</v>
      </c>
      <c r="B28" t="s">
        <v>54</v>
      </c>
      <c r="C28">
        <v>27</v>
      </c>
    </row>
    <row r="29" spans="1:3">
      <c r="A29">
        <v>413</v>
      </c>
      <c r="B29" t="s">
        <v>54</v>
      </c>
      <c r="C29">
        <v>28</v>
      </c>
    </row>
    <row r="30" spans="1:3">
      <c r="A30">
        <v>414</v>
      </c>
      <c r="B30" t="s">
        <v>54</v>
      </c>
      <c r="C30">
        <v>29</v>
      </c>
    </row>
    <row r="31" spans="1:3">
      <c r="A31">
        <v>416</v>
      </c>
      <c r="B31" t="s">
        <v>54</v>
      </c>
      <c r="C31">
        <v>30</v>
      </c>
    </row>
    <row r="32" spans="1:3">
      <c r="A32">
        <v>418</v>
      </c>
      <c r="B32" t="s">
        <v>54</v>
      </c>
      <c r="C32">
        <v>31</v>
      </c>
    </row>
    <row r="33" spans="1:3">
      <c r="A33">
        <v>420</v>
      </c>
      <c r="B33" t="s">
        <v>54</v>
      </c>
      <c r="C33">
        <v>32</v>
      </c>
    </row>
    <row r="34" spans="1:3">
      <c r="A34">
        <v>422</v>
      </c>
      <c r="B34" t="s">
        <v>54</v>
      </c>
      <c r="C34">
        <v>33</v>
      </c>
    </row>
    <row r="35" spans="1:3">
      <c r="A35">
        <v>423</v>
      </c>
      <c r="B35" t="s">
        <v>55</v>
      </c>
      <c r="C35">
        <v>34</v>
      </c>
    </row>
    <row r="36" spans="1:3">
      <c r="A36">
        <v>425</v>
      </c>
      <c r="B36" t="s">
        <v>55</v>
      </c>
      <c r="C36">
        <v>35</v>
      </c>
    </row>
    <row r="37" spans="1:3">
      <c r="A37">
        <v>630</v>
      </c>
      <c r="B37" t="s">
        <v>55</v>
      </c>
      <c r="C37">
        <v>36</v>
      </c>
    </row>
    <row r="38" spans="1:3">
      <c r="A38">
        <v>631</v>
      </c>
      <c r="B38" t="s">
        <v>56</v>
      </c>
      <c r="C38">
        <v>37</v>
      </c>
    </row>
    <row r="39" spans="1:3">
      <c r="A39">
        <v>632</v>
      </c>
      <c r="B39" t="s">
        <v>55</v>
      </c>
      <c r="C39">
        <v>38</v>
      </c>
    </row>
    <row r="40" spans="1:3">
      <c r="A40">
        <v>633</v>
      </c>
      <c r="B40" t="s">
        <v>55</v>
      </c>
      <c r="C40">
        <v>39</v>
      </c>
    </row>
    <row r="41" spans="1:3">
      <c r="A41">
        <v>634</v>
      </c>
      <c r="B41" t="s">
        <v>55</v>
      </c>
      <c r="C41">
        <v>40</v>
      </c>
    </row>
    <row r="42" spans="1:3">
      <c r="A42">
        <v>635</v>
      </c>
      <c r="B42" t="s">
        <v>55</v>
      </c>
      <c r="C42">
        <v>41</v>
      </c>
    </row>
    <row r="43" spans="1:3">
      <c r="A43">
        <v>636</v>
      </c>
      <c r="B43" t="s">
        <v>55</v>
      </c>
      <c r="C43">
        <v>42</v>
      </c>
    </row>
    <row r="44" spans="1:3">
      <c r="A44">
        <v>637</v>
      </c>
      <c r="B44" t="s">
        <v>55</v>
      </c>
      <c r="C44">
        <v>43</v>
      </c>
    </row>
    <row r="45" spans="1:3">
      <c r="A45">
        <v>638</v>
      </c>
      <c r="B45" t="s">
        <v>55</v>
      </c>
      <c r="C45">
        <v>44</v>
      </c>
    </row>
    <row r="46" spans="1:3">
      <c r="A46">
        <v>639</v>
      </c>
      <c r="B46" t="s">
        <v>56</v>
      </c>
      <c r="C46">
        <v>45</v>
      </c>
    </row>
    <row r="47" spans="1:3">
      <c r="A47">
        <v>640</v>
      </c>
      <c r="B47" t="s">
        <v>55</v>
      </c>
      <c r="C47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2025-06-08T18:45:16Z</dcterms:created>
  <dcterms:modified xsi:type="dcterms:W3CDTF">2025-06-11T02:54:42Z</dcterms:modified>
  <cp:category/>
  <cp:contentStatus/>
</cp:coreProperties>
</file>